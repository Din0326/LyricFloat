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區段明細" sheetId="2" state="visible" r:id="rId2"/>
    <sheet name="說明" sheetId="3" state="visible" r:id="rId3"/>
  </sheets>
  <definedNames>
    <definedName name="_xlnm._FilterDatabase" localSheetId="0" hidden="1">'摘要'!$A$1:$AG$3</definedName>
    <definedName name="_xlnm.Print_Titles" localSheetId="0">'摘要'!$1:$1</definedName>
    <definedName name="_xlnm._FilterDatabase" localSheetId="1" hidden="1">'區段明細'!$A$1:$N$12</definedName>
    <definedName name="_xlnm.Print_Titles" localSheetId="1">'區段明細'!$1:$1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  <font>
      <name val="微軟正黑體"/>
      <b val="1"/>
      <sz val="10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6" customWidth="1" min="22" max="22"/>
    <col width="10" customWidth="1" min="23" max="23"/>
    <col width="14" customWidth="1" min="24" max="24"/>
    <col width="14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2" customWidth="1" min="32" max="32"/>
    <col width="34" customWidth="1" min="33" max="33"/>
  </cols>
  <sheetData>
    <row r="1" ht="36" customHeight="1">
      <c r="A1" s="1" t="inlineStr">
        <is>
          <t>播放器</t>
        </is>
      </c>
      <c r="B1" s="1" t="inlineStr">
        <is>
          <t>狀態</t>
        </is>
      </c>
      <c r="C1" s="1" t="inlineStr">
        <is>
          <t>M1 閘門判定</t>
        </is>
      </c>
      <c r="D1" s="1" t="inlineStr">
        <is>
          <t>說明</t>
        </is>
      </c>
      <c r="E1" s="1" t="inlineStr">
        <is>
          <t>量測時間</t>
        </is>
      </c>
      <c r="F1" s="1" t="inlineStr">
        <is>
          <t>SMTC 來源 ID</t>
        </is>
      </c>
      <c r="G1" s="1" t="inlineStr">
        <is>
          <t>取樣秒數</t>
        </is>
      </c>
      <c r="H1" s="1" t="inlineStr">
        <is>
          <t>播放中秒數</t>
        </is>
      </c>
      <c r="I1" s="1" t="inlineStr">
        <is>
          <t>歌曲數</t>
        </is>
      </c>
      <c r="J1" s="1" t="inlineStr">
        <is>
          <t>有效區段數</t>
        </is>
      </c>
      <c r="K1" s="1" t="inlineStr">
        <is>
          <t>進度更新次數</t>
        </is>
      </c>
      <c r="L1" s="1" t="inlineStr">
        <is>
          <t>更新次數／分</t>
        </is>
      </c>
      <c r="M1" s="1" t="inlineStr">
        <is>
          <t>更新間隔中位數 (s)</t>
        </is>
      </c>
      <c r="N1" s="1" t="inlineStr">
        <is>
          <t>更新間隔 p95 (s)</t>
        </is>
      </c>
      <c r="O1" s="1" t="inlineStr">
        <is>
          <t>timeline 事件／分</t>
        </is>
      </c>
      <c r="P1" s="1" t="inlineStr">
        <is>
          <t>直接取值誤差 p95 (ms)</t>
        </is>
      </c>
      <c r="Q1" s="1" t="inlineStr">
        <is>
          <t>直接取值誤差最大 (ms)</t>
        </is>
      </c>
      <c r="R1" s="1" t="inlineStr">
        <is>
          <t>外推誤差中位數 (ms)</t>
        </is>
      </c>
      <c r="S1" s="1" t="inlineStr">
        <is>
          <t>外推誤差 p95 (ms)</t>
        </is>
      </c>
      <c r="T1" s="1" t="inlineStr">
        <is>
          <t>SyncEngine 誤差中位數 (ms)</t>
        </is>
      </c>
      <c r="U1" s="1" t="inlineStr">
        <is>
          <t>SyncEngine 誤差 p95 (ms)</t>
        </is>
      </c>
      <c r="V1" s="1" t="inlineStr">
        <is>
          <t>SyncEngine 誤差最大 (ms)</t>
        </is>
      </c>
      <c r="W1" s="1" t="inlineStr">
        <is>
          <t>對時次數</t>
        </is>
      </c>
      <c r="X1" s="1" t="inlineStr">
        <is>
          <t>對時校正量中位數 (ms)</t>
        </is>
      </c>
      <c r="Y1" s="1" t="inlineStr">
        <is>
          <t>對時校正量 p95 (ms)</t>
        </is>
      </c>
      <c r="Z1" s="1" t="inlineStr">
        <is>
          <t>對時校正量最大 (ms)</t>
        </is>
      </c>
      <c r="AA1" s="1" t="inlineStr">
        <is>
          <t>漂移 (ms／分)</t>
        </is>
      </c>
      <c r="AB1" s="1" t="inlineStr">
        <is>
          <t>偵測暫停次數</t>
        </is>
      </c>
      <c r="AC1" s="1" t="inlineStr">
        <is>
          <t>偵測拖動次數</t>
        </is>
      </c>
      <c r="AD1" s="1" t="inlineStr">
        <is>
          <t>暫停回報延遲 (ms)</t>
        </is>
      </c>
      <c r="AE1" s="1" t="inlineStr">
        <is>
          <t>播放回報延遲 (ms)</t>
        </is>
      </c>
      <c r="AF1" s="1" t="inlineStr">
        <is>
          <t>拖動回報延遲 (ms)</t>
        </is>
      </c>
      <c r="AG1" s="1" t="inlineStr">
        <is>
          <t>原始資料檔</t>
        </is>
      </c>
    </row>
    <row r="2" ht="30" customHeight="1">
      <c r="A2" s="2" t="inlineStr">
        <is>
          <t>spotify</t>
        </is>
      </c>
      <c r="B2" s="2" t="inlineStr">
        <is>
          <t>已量測</t>
        </is>
      </c>
      <c r="C2" s="2">
        <f>IF(Y2="","無資料",IF(Y2&lt;=100,"通過","未通過"))</f>
        <v/>
      </c>
      <c r="D2" s="3" t="inlineStr"/>
      <c r="E2" s="2" t="inlineStr">
        <is>
          <t>2026-10-07 11:20:13</t>
        </is>
      </c>
      <c r="F2" s="3" t="inlineStr">
        <is>
          <t>Spotify.exe</t>
        </is>
      </c>
      <c r="G2" s="2" t="n">
        <v>180</v>
      </c>
      <c r="H2" s="2" t="n">
        <v>173.1</v>
      </c>
      <c r="I2" s="2" t="n">
        <v>2</v>
      </c>
      <c r="J2" s="2" t="n">
        <v>5</v>
      </c>
      <c r="K2" s="2" t="n">
        <v>47</v>
      </c>
      <c r="L2" s="2" t="n">
        <v>16.3</v>
      </c>
      <c r="M2" s="2" t="n">
        <v>4.49</v>
      </c>
      <c r="N2" s="2" t="n">
        <v>4.55</v>
      </c>
      <c r="O2" s="2" t="n">
        <v>18.7</v>
      </c>
      <c r="P2" s="2" t="n">
        <v>2178</v>
      </c>
      <c r="Q2" s="2" t="n">
        <v>3013</v>
      </c>
      <c r="R2" s="2" t="n">
        <v>4</v>
      </c>
      <c r="S2" s="2" t="n">
        <v>8</v>
      </c>
      <c r="T2" s="2" t="n">
        <v>3</v>
      </c>
      <c r="U2" s="2" t="n">
        <v>11</v>
      </c>
      <c r="V2" s="2" t="n">
        <v>105</v>
      </c>
      <c r="W2" s="2" t="n">
        <v>44</v>
      </c>
      <c r="X2" s="2" t="n">
        <v>4</v>
      </c>
      <c r="Y2" s="2" t="n">
        <v>19</v>
      </c>
      <c r="Z2" s="2" t="n">
        <v>102</v>
      </c>
      <c r="AA2" s="2" t="n">
        <v>-0.5</v>
      </c>
      <c r="AB2" s="2" t="n">
        <v>2</v>
      </c>
      <c r="AC2" s="2" t="n">
        <v>3</v>
      </c>
      <c r="AD2" s="2" t="n">
        <v>312</v>
      </c>
      <c r="AE2" s="2" t="n">
        <v>79</v>
      </c>
      <c r="AF2" s="2" t="n">
        <v>63</v>
      </c>
      <c r="AG2" s="3" t="inlineStr">
        <is>
          <t>reports/raw/smtc_spotify_20261007-112313.csv</t>
        </is>
      </c>
    </row>
    <row r="3" ht="30" customHeight="1">
      <c r="A3" s="2" t="inlineStr">
        <is>
          <t>ytmusic</t>
        </is>
      </c>
      <c r="B3" s="2" t="inlineStr">
        <is>
          <t>已量測</t>
        </is>
      </c>
      <c r="C3" s="2">
        <f>IF(Y3="","無資料",IF(Y3&lt;=100,"通過","未通過"))</f>
        <v/>
      </c>
      <c r="D3" s="3" t="inlineStr"/>
      <c r="E3" s="2" t="inlineStr">
        <is>
          <t>2026-10-07 11:23:35</t>
        </is>
      </c>
      <c r="F3" s="3" t="inlineStr">
        <is>
          <t>Chrome</t>
        </is>
      </c>
      <c r="G3" s="2" t="n">
        <v>180</v>
      </c>
      <c r="H3" s="2" t="n">
        <v>173.9</v>
      </c>
      <c r="I3" s="2" t="n">
        <v>1</v>
      </c>
      <c r="J3" s="2" t="n">
        <v>4</v>
      </c>
      <c r="K3" s="2" t="n">
        <v>4</v>
      </c>
      <c r="L3" s="2" t="n">
        <v>1.4</v>
      </c>
      <c r="M3" s="2" t="n"/>
      <c r="N3" s="2" t="n"/>
      <c r="O3" s="2" t="n">
        <v>2.8</v>
      </c>
      <c r="P3" s="2" t="n">
        <v>38109</v>
      </c>
      <c r="Q3" s="2" t="n">
        <v>42464</v>
      </c>
      <c r="R3" s="2" t="n">
        <v>4</v>
      </c>
      <c r="S3" s="2" t="n">
        <v>8</v>
      </c>
      <c r="T3" s="2" t="n">
        <v>0</v>
      </c>
      <c r="U3" s="2" t="n">
        <v>0</v>
      </c>
      <c r="V3" s="2" t="n">
        <v>25</v>
      </c>
      <c r="W3" s="2" t="n">
        <v>1</v>
      </c>
      <c r="X3" s="2" t="n">
        <v>25</v>
      </c>
      <c r="Y3" s="2" t="n">
        <v>25</v>
      </c>
      <c r="Z3" s="2" t="n">
        <v>25</v>
      </c>
      <c r="AA3" s="2" t="n">
        <v>0.1</v>
      </c>
      <c r="AB3" s="2" t="n">
        <v>1</v>
      </c>
      <c r="AC3" s="2" t="n">
        <v>2</v>
      </c>
      <c r="AD3" s="2" t="n">
        <v>63</v>
      </c>
      <c r="AE3" s="2" t="n">
        <v>62</v>
      </c>
      <c r="AF3" s="2" t="n">
        <v>62</v>
      </c>
      <c r="AG3" s="3" t="inlineStr">
        <is>
          <t>reports/raw/smtc_ytmusic_20261007-112635.csv</t>
        </is>
      </c>
    </row>
    <row r="5">
      <c r="A5" s="4" t="inlineStr">
        <is>
          <t>已量測次數</t>
        </is>
      </c>
      <c r="B5" s="5">
        <f>COUNTIFS(B2:B3,"已量測")</f>
        <v/>
      </c>
    </row>
    <row r="6">
      <c r="A6" s="4" t="inlineStr">
        <is>
          <t>BLOCK／未量測</t>
        </is>
      </c>
      <c r="B6" s="5">
        <f>COUNTIFS(B2:B3,"&lt;&gt;已量測")</f>
        <v/>
      </c>
    </row>
    <row r="7">
      <c r="A7" s="4" t="inlineStr">
        <is>
          <t>M1 閘門通過次數</t>
        </is>
      </c>
      <c r="B7" s="5">
        <f>COUNTIFS(C2:C3,"通過")</f>
        <v/>
      </c>
    </row>
    <row r="8">
      <c r="A8" s="4" t="inlineStr">
        <is>
          <t>M1 閘門未通過次數</t>
        </is>
      </c>
      <c r="B8" s="5">
        <f>COUNTIFS(C2:C3,"未通過")</f>
        <v/>
      </c>
    </row>
  </sheetData>
  <autoFilter ref="A1:AG3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36" customHeight="1">
      <c r="A1" s="1" t="inlineStr">
        <is>
          <t>播放器</t>
        </is>
      </c>
      <c r="B1" s="1" t="inlineStr">
        <is>
          <t>量測時間</t>
        </is>
      </c>
      <c r="C1" s="1" t="inlineStr">
        <is>
          <t>區段</t>
        </is>
      </c>
      <c r="D1" s="1" t="inlineStr">
        <is>
          <t>開始 (s)</t>
        </is>
      </c>
      <c r="E1" s="1" t="inlineStr">
        <is>
          <t>長度 (s)</t>
        </is>
      </c>
      <c r="F1" s="1" t="inlineStr">
        <is>
          <t>樣本數</t>
        </is>
      </c>
      <c r="G1" s="1" t="inlineStr">
        <is>
          <t>更新次數</t>
        </is>
      </c>
      <c r="H1" s="1" t="inlineStr">
        <is>
          <t>結束原因</t>
        </is>
      </c>
      <c r="I1" s="1" t="inlineStr">
        <is>
          <t>納入統計</t>
        </is>
      </c>
      <c r="J1" s="1" t="inlineStr">
        <is>
          <t>直接取值 p95 (ms)</t>
        </is>
      </c>
      <c r="K1" s="1" t="inlineStr">
        <is>
          <t>外推 p95 (ms)</t>
        </is>
      </c>
      <c r="L1" s="1" t="inlineStr">
        <is>
          <t>SyncEngine p95 (ms)</t>
        </is>
      </c>
      <c r="M1" s="1" t="inlineStr">
        <is>
          <t>SyncEngine 最大 (ms)</t>
        </is>
      </c>
      <c r="N1" s="1" t="inlineStr">
        <is>
          <t>漂移 (ms／分)</t>
        </is>
      </c>
    </row>
    <row r="2" ht="18" customHeight="1">
      <c r="A2" s="2" t="inlineStr">
        <is>
          <t>spotify</t>
        </is>
      </c>
      <c r="B2" s="2" t="inlineStr">
        <is>
          <t>2026-10-07 11:20:13</t>
        </is>
      </c>
      <c r="C2" s="2" t="n">
        <v>1</v>
      </c>
      <c r="D2" s="2" t="n">
        <v>0</v>
      </c>
      <c r="E2" s="2" t="n">
        <v>30.2</v>
      </c>
      <c r="F2" s="2" t="n">
        <v>490</v>
      </c>
      <c r="G2" s="2" t="n">
        <v>8</v>
      </c>
      <c r="H2" s="2" t="inlineStr">
        <is>
          <t>暫停</t>
        </is>
      </c>
      <c r="I2" s="2" t="inlineStr">
        <is>
          <t>是</t>
        </is>
      </c>
      <c r="J2" s="2" t="n">
        <v>2146</v>
      </c>
      <c r="K2" s="2" t="n">
        <v>7</v>
      </c>
      <c r="L2" s="2" t="n">
        <v>10</v>
      </c>
      <c r="M2" s="2" t="n">
        <v>10</v>
      </c>
      <c r="N2" s="2" t="n">
        <v>-0.5</v>
      </c>
    </row>
    <row r="3" ht="18" customHeight="1">
      <c r="A3" s="2" t="inlineStr">
        <is>
          <t>spotify</t>
        </is>
      </c>
      <c r="B3" s="2" t="inlineStr">
        <is>
          <t>2026-10-07 11:20:13</t>
        </is>
      </c>
      <c r="C3" s="2" t="n">
        <v>2</v>
      </c>
      <c r="D3" s="2" t="n">
        <v>36.1</v>
      </c>
      <c r="E3" s="2" t="n">
        <v>0.3</v>
      </c>
      <c r="F3" s="2" t="n">
        <v>6</v>
      </c>
      <c r="G3" s="2" t="n">
        <v>1</v>
      </c>
      <c r="H3" s="2" t="inlineStr">
        <is>
          <t>暫停</t>
        </is>
      </c>
      <c r="I3" s="2" t="inlineStr">
        <is>
          <t>否（&lt; 15 秒）</t>
        </is>
      </c>
      <c r="J3" s="2" t="n">
        <v>156</v>
      </c>
      <c r="K3" s="2" t="n">
        <v>2</v>
      </c>
      <c r="L3" s="2" t="n">
        <v>0</v>
      </c>
      <c r="M3" s="2" t="n">
        <v>0</v>
      </c>
      <c r="N3" s="2" t="n">
        <v>-498</v>
      </c>
    </row>
    <row r="4" ht="18" customHeight="1">
      <c r="A4" s="2" t="inlineStr">
        <is>
          <t>spotify</t>
        </is>
      </c>
      <c r="B4" s="2" t="inlineStr">
        <is>
          <t>2026-10-07 11:20:13</t>
        </is>
      </c>
      <c r="C4" s="2" t="n">
        <v>3</v>
      </c>
      <c r="D4" s="2" t="n">
        <v>37.6</v>
      </c>
      <c r="E4" s="2" t="n">
        <v>22.4</v>
      </c>
      <c r="F4" s="2" t="n">
        <v>364</v>
      </c>
      <c r="G4" s="2" t="n">
        <v>6</v>
      </c>
      <c r="H4" s="2" t="inlineStr">
        <is>
          <t>拖動</t>
        </is>
      </c>
      <c r="I4" s="2" t="inlineStr">
        <is>
          <t>是</t>
        </is>
      </c>
      <c r="J4" s="2" t="n">
        <v>2181</v>
      </c>
      <c r="K4" s="2" t="n">
        <v>8</v>
      </c>
      <c r="L4" s="2" t="n">
        <v>12</v>
      </c>
      <c r="M4" s="2" t="n">
        <v>12</v>
      </c>
      <c r="N4" s="2" t="n">
        <v>2.8</v>
      </c>
    </row>
    <row r="5" ht="18" customHeight="1">
      <c r="A5" s="2" t="inlineStr">
        <is>
          <t>spotify</t>
        </is>
      </c>
      <c r="B5" s="2" t="inlineStr">
        <is>
          <t>2026-10-07 11:20:13</t>
        </is>
      </c>
      <c r="C5" s="2" t="n">
        <v>4</v>
      </c>
      <c r="D5" s="2" t="n">
        <v>60.1</v>
      </c>
      <c r="E5" s="2" t="n">
        <v>15</v>
      </c>
      <c r="F5" s="2" t="n">
        <v>243</v>
      </c>
      <c r="G5" s="2" t="n">
        <v>6</v>
      </c>
      <c r="H5" s="2" t="inlineStr">
        <is>
          <t>拖動</t>
        </is>
      </c>
      <c r="I5" s="2" t="inlineStr">
        <is>
          <t>是</t>
        </is>
      </c>
      <c r="J5" s="2" t="n">
        <v>2635</v>
      </c>
      <c r="K5" s="2" t="n">
        <v>33</v>
      </c>
      <c r="L5" s="2" t="n">
        <v>17</v>
      </c>
      <c r="M5" s="2" t="n">
        <v>101</v>
      </c>
      <c r="N5" s="2" t="n">
        <v>54.1</v>
      </c>
    </row>
    <row r="6" ht="18" customHeight="1">
      <c r="A6" s="2" t="inlineStr">
        <is>
          <t>spotify</t>
        </is>
      </c>
      <c r="B6" s="2" t="inlineStr">
        <is>
          <t>2026-10-07 11:20:13</t>
        </is>
      </c>
      <c r="C6" s="2" t="n">
        <v>5</v>
      </c>
      <c r="D6" s="2" t="n">
        <v>75.2</v>
      </c>
      <c r="E6" s="2" t="n">
        <v>0.6</v>
      </c>
      <c r="F6" s="2" t="n">
        <v>10</v>
      </c>
      <c r="G6" s="2" t="n">
        <v>2</v>
      </c>
      <c r="H6" s="2" t="inlineStr">
        <is>
          <t>切歌</t>
        </is>
      </c>
      <c r="I6" s="2" t="inlineStr">
        <is>
          <t>否（&lt; 15 秒）</t>
        </is>
      </c>
      <c r="J6" s="2" t="n">
        <v>277</v>
      </c>
      <c r="K6" s="2" t="n">
        <v>488</v>
      </c>
      <c r="L6" s="2" t="n">
        <v>491</v>
      </c>
      <c r="M6" s="2" t="n">
        <v>491</v>
      </c>
      <c r="N6" s="2" t="n">
        <v>-46050.5</v>
      </c>
    </row>
    <row r="7" ht="18" customHeight="1">
      <c r="A7" s="2" t="inlineStr">
        <is>
          <t>spotify</t>
        </is>
      </c>
      <c r="B7" s="2" t="inlineStr">
        <is>
          <t>2026-10-07 11:20:13</t>
        </is>
      </c>
      <c r="C7" s="2" t="n">
        <v>6</v>
      </c>
      <c r="D7" s="2" t="n">
        <v>75.8</v>
      </c>
      <c r="E7" s="2" t="n">
        <v>19.2</v>
      </c>
      <c r="F7" s="2" t="n">
        <v>311</v>
      </c>
      <c r="G7" s="2" t="n">
        <v>4</v>
      </c>
      <c r="H7" s="2" t="inlineStr">
        <is>
          <t>拖動</t>
        </is>
      </c>
      <c r="I7" s="2" t="inlineStr">
        <is>
          <t>是</t>
        </is>
      </c>
      <c r="J7" s="2" t="n">
        <v>2222</v>
      </c>
      <c r="K7" s="2" t="n">
        <v>8</v>
      </c>
      <c r="L7" s="2" t="n">
        <v>11</v>
      </c>
      <c r="M7" s="2" t="n">
        <v>11</v>
      </c>
      <c r="N7" s="2" t="n">
        <v>-4.5</v>
      </c>
    </row>
    <row r="8" ht="18" customHeight="1">
      <c r="A8" s="2" t="inlineStr">
        <is>
          <t>spotify</t>
        </is>
      </c>
      <c r="B8" s="2" t="inlineStr">
        <is>
          <t>2026-10-07 11:20:13</t>
        </is>
      </c>
      <c r="C8" s="2" t="n">
        <v>7</v>
      </c>
      <c r="D8" s="2" t="n">
        <v>95.09999999999999</v>
      </c>
      <c r="E8" s="2" t="n">
        <v>84.90000000000001</v>
      </c>
      <c r="F8" s="2" t="n">
        <v>1369</v>
      </c>
      <c r="G8" s="2" t="n">
        <v>20</v>
      </c>
      <c r="H8" s="2" t="inlineStr">
        <is>
          <t>量測結束</t>
        </is>
      </c>
      <c r="I8" s="2" t="inlineStr">
        <is>
          <t>是</t>
        </is>
      </c>
      <c r="J8" s="2" t="n">
        <v>2145</v>
      </c>
      <c r="K8" s="2" t="n">
        <v>8</v>
      </c>
      <c r="L8" s="2" t="n">
        <v>7</v>
      </c>
      <c r="M8" s="2" t="n">
        <v>105</v>
      </c>
      <c r="N8" s="2" t="n">
        <v>-0.9</v>
      </c>
    </row>
    <row r="9" ht="18" customHeight="1">
      <c r="A9" s="2" t="inlineStr">
        <is>
          <t>ytmusic</t>
        </is>
      </c>
      <c r="B9" s="2" t="inlineStr">
        <is>
          <t>2026-10-07 11:23:35</t>
        </is>
      </c>
      <c r="C9" s="2" t="n">
        <v>1</v>
      </c>
      <c r="D9" s="2" t="n">
        <v>0</v>
      </c>
      <c r="E9" s="2" t="n">
        <v>30</v>
      </c>
      <c r="F9" s="2" t="n">
        <v>485</v>
      </c>
      <c r="G9" s="2" t="n">
        <v>1</v>
      </c>
      <c r="H9" s="2" t="inlineStr">
        <is>
          <t>暫停</t>
        </is>
      </c>
      <c r="I9" s="2" t="inlineStr">
        <is>
          <t>是</t>
        </is>
      </c>
      <c r="J9" s="2" t="n">
        <v>14263</v>
      </c>
      <c r="K9" s="2" t="n">
        <v>8</v>
      </c>
      <c r="L9" s="2" t="n">
        <v>0</v>
      </c>
      <c r="M9" s="2" t="n">
        <v>0</v>
      </c>
      <c r="N9" s="2" t="n">
        <v>0.4</v>
      </c>
    </row>
    <row r="10" ht="18" customHeight="1">
      <c r="A10" s="2" t="inlineStr">
        <is>
          <t>ytmusic</t>
        </is>
      </c>
      <c r="B10" s="2" t="inlineStr">
        <is>
          <t>2026-10-07 11:23:35</t>
        </is>
      </c>
      <c r="C10" s="2" t="n">
        <v>2</v>
      </c>
      <c r="D10" s="2" t="n">
        <v>36.1</v>
      </c>
      <c r="E10" s="2" t="n">
        <v>23.9</v>
      </c>
      <c r="F10" s="2" t="n">
        <v>387</v>
      </c>
      <c r="G10" s="2" t="n">
        <v>1</v>
      </c>
      <c r="H10" s="2" t="inlineStr">
        <is>
          <t>拖動</t>
        </is>
      </c>
      <c r="I10" s="2" t="inlineStr">
        <is>
          <t>是</t>
        </is>
      </c>
      <c r="J10" s="2" t="n">
        <v>11424</v>
      </c>
      <c r="K10" s="2" t="n">
        <v>9</v>
      </c>
      <c r="L10" s="2" t="n">
        <v>0</v>
      </c>
      <c r="M10" s="2" t="n">
        <v>0</v>
      </c>
      <c r="N10" s="2" t="n">
        <v>-0.5</v>
      </c>
    </row>
    <row r="11" ht="18" customHeight="1">
      <c r="A11" s="2" t="inlineStr">
        <is>
          <t>ytmusic</t>
        </is>
      </c>
      <c r="B11" s="2" t="inlineStr">
        <is>
          <t>2026-10-07 11:23:35</t>
        </is>
      </c>
      <c r="C11" s="2" t="n">
        <v>3</v>
      </c>
      <c r="D11" s="2" t="n">
        <v>60.1</v>
      </c>
      <c r="E11" s="2" t="n">
        <v>34.9</v>
      </c>
      <c r="F11" s="2" t="n">
        <v>563</v>
      </c>
      <c r="G11" s="2" t="n">
        <v>1</v>
      </c>
      <c r="H11" s="2" t="inlineStr">
        <is>
          <t>拖動</t>
        </is>
      </c>
      <c r="I11" s="2" t="inlineStr">
        <is>
          <t>是</t>
        </is>
      </c>
      <c r="J11" s="2" t="n">
        <v>16623</v>
      </c>
      <c r="K11" s="2" t="n">
        <v>7</v>
      </c>
      <c r="L11" s="2" t="n">
        <v>0</v>
      </c>
      <c r="M11" s="2" t="n">
        <v>0</v>
      </c>
      <c r="N11" s="2" t="n">
        <v>0.6</v>
      </c>
    </row>
    <row r="12" ht="18" customHeight="1">
      <c r="A12" s="2" t="inlineStr">
        <is>
          <t>ytmusic</t>
        </is>
      </c>
      <c r="B12" s="2" t="inlineStr">
        <is>
          <t>2026-10-07 11:23:35</t>
        </is>
      </c>
      <c r="C12" s="2" t="n">
        <v>4</v>
      </c>
      <c r="D12" s="2" t="n">
        <v>95.09999999999999</v>
      </c>
      <c r="E12" s="2" t="n">
        <v>84.90000000000001</v>
      </c>
      <c r="F12" s="2" t="n">
        <v>1366</v>
      </c>
      <c r="G12" s="2" t="n">
        <v>1</v>
      </c>
      <c r="H12" s="2" t="inlineStr">
        <is>
          <t>量測結束</t>
        </is>
      </c>
      <c r="I12" s="2" t="inlineStr">
        <is>
          <t>是</t>
        </is>
      </c>
      <c r="J12" s="2" t="n">
        <v>40336</v>
      </c>
      <c r="K12" s="2" t="n">
        <v>8</v>
      </c>
      <c r="L12" s="2" t="n">
        <v>0</v>
      </c>
      <c r="M12" s="2" t="n">
        <v>25</v>
      </c>
      <c r="N12" s="2" t="n">
        <v>-0.2</v>
      </c>
    </row>
  </sheetData>
  <autoFilter ref="A1:N12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6" t="inlineStr">
        <is>
          <t>SMTC 播放器進度實測（M1 閘門）</t>
        </is>
      </c>
    </row>
    <row r="2" ht="18" customHeight="1">
      <c r="A2" s="7" t="inlineStr">
        <is>
          <t>版本 v1.0 — 由 tools/measure_smtc.py 產生；每次執行 report 覆蓋本檔。</t>
        </is>
      </c>
    </row>
    <row r="3" ht="18" customHeight="1">
      <c r="A3" s="6" t="inlineStr">
        <is>
          <t>方法</t>
        </is>
      </c>
    </row>
    <row r="4" ht="48" customHeight="1">
      <c r="A4" s="7" t="inlineStr">
        <is>
          <t>以 50 毫秒間隔輪詢 Windows 媒體會話（SMTC）的 Timeline 與 PlaybackInfo，並同時記錄 SMTC 事件。連續播放期間，真實進度應以每秒 1 秒前進；每個播放區段（遇到暫停、拖動、切歌即切開）內，三種進度算法各自以「進度 = 經過秒數 + c」擬合，c 取該算法的中位數偏移。誤差為各樣本與這條線的差距。</t>
        </is>
      </c>
    </row>
    <row r="5" ht="32" customHeight="1">
      <c r="A5" s="7" t="inlineStr">
        <is>
          <t>因 c 是擬合值，本測量量的是「回報的一致性」，無法量到回報進度與實際聲音之間的固定偏差（那需要擷取音訊，屬 L2）。</t>
        </is>
      </c>
    </row>
    <row r="6" ht="18" customHeight="1">
      <c r="A6" s="6" t="inlineStr">
        <is>
          <t>指標</t>
        </is>
      </c>
    </row>
    <row r="7" ht="48" customHeight="1">
      <c r="A7" s="7" t="inlineStr">
        <is>
          <t>進度更新：Position 或 LastUpdatedTime 改變的時刻；0.25 秒內的連續回報視為同一次（同一個狀態改變常觸發多筆）。更新間隔＝同一區段內相鄰兩次更新的時間差；播放器只在暫停、拖動時才回報的話，間隔欄會是空的，請看「更新次數／分」。</t>
        </is>
      </c>
    </row>
    <row r="8" ht="18" customHeight="1">
      <c r="A8" s="7" t="inlineStr">
        <is>
          <t>直接取值誤差：把回報的 Position 當成「現在」的進度。播放器更新越稀疏，這個誤差越大（鋸齒狀）。</t>
        </is>
      </c>
    </row>
    <row r="9" ht="18" customHeight="1">
      <c r="A9" s="7" t="inlineStr">
        <is>
          <t>外推誤差：Position + (現在 − LastUpdatedTime)，即 MediaWatcher 的算法。</t>
        </is>
      </c>
    </row>
    <row r="10" ht="32" customHeight="1">
      <c r="A10" s="7" t="inlineStr">
        <is>
          <t>SyncEngine 誤差：只在收到新回報時重新對時、其餘時間本地推算的進度，與 1 倍速時鐘的差距。注意：播放器很少回報時，這條線幾乎不會被修正，數值會接近 0，不代表準確。</t>
        </is>
      </c>
    </row>
    <row r="11" ht="48" customHeight="1">
      <c r="A11" s="7" t="inlineStr">
        <is>
          <t>對時校正量：每次收到新回報時，App 當下顯示所依據的進度與播放器新回報之間的差距，也就是重新對時前已經偏了多少。這是最接近非功能需求「歌詞時間誤差（相對播放器進度）≤ 100 毫秒」的指標；拖動造成的跳變（&gt; 2 秒）不在區段內，不計入。</t>
        </is>
      </c>
    </row>
    <row r="12" ht="18" customHeight="1">
      <c r="A12" s="7" t="inlineStr">
        <is>
          <t>漂移：外推進度對經過時間的斜率減 1，換算成每分鐘毫秒；正值代表回報跑得比時鐘快。</t>
        </is>
      </c>
    </row>
    <row r="13" ht="32" customHeight="1">
      <c r="A13" s="7" t="inlineStr">
        <is>
          <t>回報延遲：腳本經 SMTC 下暫停／播放／拖動指令後，到輪詢看到狀態或進度改變的時間（僅在 --scripted 時有值）。</t>
        </is>
      </c>
    </row>
    <row r="14" ht="18" customHeight="1">
      <c r="A14" s="7" t="inlineStr">
        <is>
          <t>少於 15 秒的區段不納入統計，但仍列在「區段明細」。</t>
        </is>
      </c>
    </row>
    <row r="15" ht="18" customHeight="1">
      <c r="A15" s="6" t="inlineStr">
        <is>
          <t>判定</t>
        </is>
      </c>
    </row>
    <row r="16" ht="32" customHeight="1">
      <c r="A16" s="7" t="inlineStr">
        <is>
          <t>M1 閘門（規格 v1.5）：Spotify 與 Chrome 的 YouTube Music 兩個播放器，對時校正量 p95 ≤ 100 毫秒。「M1 閘門判定」欄以公式計算；沒有對時資料時顯示「無資料」。KKBOX 不在範圍內。</t>
        </is>
      </c>
    </row>
    <row r="17" ht="32" customHeight="1">
      <c r="A17" s="7" t="inlineStr">
        <is>
          <t>對時次數很少時（例如 Chrome 只在暫停、拖動時回報），判定只代表那幾次對時的結果，無法涵蓋播放中途緩衝卡住的情況。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2026-10-07T03:35:50Z</dcterms:created>
  <dcterms:modified xsi:type="dcterms:W3CDTF">2026-10-07T03:35:50Z</dcterms:modified>
</cp:coreProperties>
</file>